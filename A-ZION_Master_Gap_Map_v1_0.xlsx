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92103bf9b140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e44e16e8cd94913"/>
    <x:sheet xmlns:r="http://schemas.openxmlformats.org/officeDocument/2006/relationships" name="Gap Map" sheetId="2" r:id="Rd3bce36228424d0b"/>
    <x:sheet xmlns:r="http://schemas.openxmlformats.org/officeDocument/2006/relationships" name="Roadmap" sheetId="3" r:id="Ra064e02689dc4d43"/>
    <x:sheet xmlns:r="http://schemas.openxmlformats.org/officeDocument/2006/relationships" name="Decision Log" sheetId="4" r:id="R66243da4e8204894"/>
    <x:sheet xmlns:r="http://schemas.openxmlformats.org/officeDocument/2006/relationships" name="Governance Rules" sheetId="5" r:id="R3fd77441881d4b5d"/>
    <x:sheet xmlns:r="http://schemas.openxmlformats.org/officeDocument/2006/relationships" name="Lists" sheetId="6" r:id="R5a164c7b95b644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FFDCFCE7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ont>
        <x:b/>
        <x:color rgb="FFFFFFFF"/>
      </x:font>
      <x:fill>
        <x:patternFill patternType="solid">
          <x:bgColor rgb="FFF9731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d33e0872af4932" /><Relationship Type="http://schemas.openxmlformats.org/officeDocument/2006/relationships/theme" Target="/xl/theme/theme1.xml" Id="R557a5a3640964bc3" /><Relationship Type="http://schemas.openxmlformats.org/officeDocument/2006/relationships/sharedStrings" Target="/xl/sharedStrings.xml" Id="Rc438b85e5eae4abe" /><Relationship Type="http://schemas.openxmlformats.org/officeDocument/2006/relationships/worksheet" Target="/xl/worksheets/sheet1.xml" Id="R6e44e16e8cd94913" /><Relationship Type="http://schemas.openxmlformats.org/officeDocument/2006/relationships/worksheet" Target="/xl/worksheets/sheet2.xml" Id="Rd3bce36228424d0b" /><Relationship Type="http://schemas.openxmlformats.org/officeDocument/2006/relationships/worksheet" Target="/xl/worksheets/sheet3.xml" Id="Ra064e02689dc4d43" /><Relationship Type="http://schemas.openxmlformats.org/officeDocument/2006/relationships/worksheet" Target="/xl/worksheets/sheet4.xml" Id="R66243da4e8204894" /><Relationship Type="http://schemas.openxmlformats.org/officeDocument/2006/relationships/worksheet" Target="/xl/worksheets/sheet5.xml" Id="R3fd77441881d4b5d" /><Relationship Type="http://schemas.openxmlformats.org/officeDocument/2006/relationships/worksheet" Target="/xl/worksheets/sheet6.xml" Id="R5a164c7b95b644eb" /></Relationships>
</file>

<file path=xl/tables/table1.xml><?xml version="1.0" encoding="utf-8"?>
<x:table xmlns:x="http://schemas.openxmlformats.org/spreadsheetml/2006/main" id="1" name="GapMapTable" displayName="GapMapTable" ref="A1:K26" headerRowCount="1">
  <x:tableColumns count="11">
    <x:tableColumn id="1" name="Component"/>
    <x:tableColumn id="2" name="System Role"/>
    <x:tableColumn id="3" name="Already Exists?"/>
    <x:tableColumn id="4" name="Completion %"/>
    <x:tableColumn id="5" name="Status"/>
    <x:tableColumn id="6" name="Priority"/>
    <x:tableColumn id="7" name="Gap / Missing Piece"/>
    <x:tableColumn id="8" name="Next Action"/>
    <x:tableColumn id="9" name="Owner"/>
    <x:tableColumn id="10" name="Duplicate Risk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RoadmapTable" displayName="RoadmapTable" ref="A1:G10" headerRowCount="1">
  <x:tableColumns count="7">
    <x:tableColumn id="1" name="Phase"/>
    <x:tableColumn id="2" name="Workstream"/>
    <x:tableColumn id="3" name="Deliverable"/>
    <x:tableColumn id="4" name="Dependency"/>
    <x:tableColumn id="5" name="Sprint"/>
    <x:tableColumn id="6" name="Priority"/>
    <x:tableColumn id="7" name="Exit Criteria"/>
  </x:tableColumns>
  <x:tableStyleInfo name="TableStyleMedium2" showRowStripes="1"/>
</x:table>
</file>

<file path=xl/tables/table3.xml><?xml version="1.0" encoding="utf-8"?>
<x:table xmlns:x="http://schemas.openxmlformats.org/spreadsheetml/2006/main" id="3" name="DecisionLogTable" displayName="DecisionLogTable" ref="A1:E4" headerRowCount="1">
  <x:tableColumns count="5">
    <x:tableColumn id="1" name="Date"/>
    <x:tableColumn id="2" name="Decision"/>
    <x:tableColumn id="3" name="Reason"/>
    <x:tableColumn id="4" name="Impact"/>
    <x:tableColumn id="5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GovernanceRulesTable" displayName="GovernanceRulesTable" ref="A1:C9" headerRowCount="1">
  <x:tableColumns count="3">
    <x:tableColumn id="1" name="Rule ID"/>
    <x:tableColumn id="2" name="Rule"/>
    <x:tableColumn id="3" name="Purpo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eb29497bae47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260e503e3547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8e1742f5a44d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dd77b16a4c4ce9" /></Relationships>
</file>

<file path=xl/worksheets/sheet1.xml><?xml version="1.0" encoding="utf-8"?>
<x:worksheet xmlns:x="http://schemas.openxmlformats.org/spreadsheetml/2006/main">
  <x:sheetFormatPr defaultRowHeight="15"/>
  <x:cols>
    <x:col min="2" max="2" width="93.75" hidden="0" customWidth="1"/>
    <x:col min="1" max="1" width="32.880001068115234" hidden="0" customWidth="1"/>
    <x:col min="3" max="3" width="15.75" hidden="0" customWidth="1"/>
    <x:col min="4" max="4" width="8.380000114440918" hidden="0" customWidth="1"/>
  </x:cols>
  <x:sheetData>
    <x:row r="1" ht="28" customHeight="1">
      <x:c r="A1" s="28" t="str">
        <x:v>A-ZION Master Gap Map v1.0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</x:row>
    <x:row r="3">
      <x:c r="A3" t="str">
        <x:v>Purpose</x:v>
      </x:c>
      <x:c r="B3" t="str">
        <x:v>Prevent duplicate work, identify missing components, and define the next build path from Research System to Investment OS.</x:v>
      </x:c>
    </x:row>
    <x:row r="5">
      <x:c r="A5" s="15" t="str">
        <x:v>Current Master</x:v>
      </x:c>
      <x:c r="B5" t="str">
        <x:v>Live Master v2.3</x:v>
      </x:c>
    </x:row>
    <x:row r="6">
      <x:c r="A6" s="15" t="str">
        <x:v>Universe</x:v>
      </x:c>
      <x:c r="B6" t="str">
        <x:v>Universe Master v1.0 created</x:v>
      </x:c>
    </x:row>
    <x:row r="7">
      <x:c r="A7" s="15" t="str">
        <x:v>Daily Report</x:v>
      </x:c>
      <x:c r="B7" t="str">
        <x:v>Pilot active</x:v>
      </x:c>
    </x:row>
    <x:row r="8">
      <x:c r="A8" s="15" t="str">
        <x:v>Architecture</x:v>
      </x:c>
      <x:c r="B8" t="str">
        <x:v>Frozen where defined</x:v>
      </x:c>
    </x:row>
    <x:row r="9">
      <x:c r="A9" s="15" t="str">
        <x:v>Immediate Priority</x:v>
      </x:c>
      <x:c r="B9" t="str">
        <x:v>Operationalize Universe + Scanner</x:v>
      </x:c>
    </x:row>
    <x:row r="10">
      <x:c r="A10" s="15" t="str">
        <x:v>Next Research Gap</x:v>
      </x:c>
      <x:c r="B10" t="str">
        <x:v>AI Water Infrastructure</x:v>
      </x:c>
    </x:row>
    <x:row r="11">
      <x:c r="A11" s="15" t="str">
        <x:v>Next System Gap</x:v>
      </x:c>
      <x:c r="B11" t="str">
        <x:v>Scanner Data Pipeline</x:v>
      </x:c>
    </x:row>
    <x:row r="12">
      <x:c r="A12" s="15" t="str">
        <x:v>Created</x:v>
      </x:c>
      <x:c r="B12" t="str">
        <x:v>2026-07-07 20:34</x:v>
      </x:c>
    </x:row>
    <x:row r="14">
      <x:c r="A14" s="19" t="str">
        <x:v>KPI</x:v>
      </x:c>
      <x:c r="B14" s="19" t="str">
        <x:v>Formula / Value</x:v>
      </x:c>
      <x:c r="C14" s="19" t="str">
        <x:v>Target</x:v>
      </x:c>
      <x:c r="D14" s="19" t="str">
        <x:v>Status</x:v>
      </x:c>
    </x:row>
    <x:row r="15">
      <x:c r="A15" t="str">
        <x:v>Master Check Coverage</x:v>
      </x:c>
      <x:c r="B15" t="n">
        <x:f>COUNTA('Gap Map'!A2:A200)</x:f>
        <x:v>25</x:v>
      </x:c>
      <x:c r="C15" t="str">
        <x:v>All core components</x:v>
      </x:c>
      <x:c r="D15" t="str">
        <x:f>IF(B15&gt;=10,"OK","Need Map")</x:f>
        <x:v>OK</x:v>
      </x:c>
    </x:row>
    <x:row r="16">
      <x:c r="A16" t="str">
        <x:v>Complete / Frozen</x:v>
      </x:c>
      <x:c r="B16" t="n">
        <x:f>COUNTIF('Gap Map'!E2:E200,"Complete")+COUNTIF('Gap Map'!E2:E200,"Frozen")</x:f>
        <x:v>7</x:v>
      </x:c>
      <x:c r="C16" t="str">
        <x:v>Increase</x:v>
      </x:c>
      <x:c r="D16" t="str">
        <x:f>IF(B16&gt;=10,"OK","Need Map")</x:f>
        <x:v>Need Map</x:v>
      </x:c>
    </x:row>
    <x:row r="17">
      <x:c r="A17" t="str">
        <x:v>In Progress / Partial</x:v>
      </x:c>
      <x:c r="B17" t="n">
        <x:f>COUNTIF('Gap Map'!E2:E200,"In Progress")+COUNTIF('Gap Map'!E2:E200,"Partial")</x:f>
        <x:v>12</x:v>
      </x:c>
      <x:c r="C17" t="str">
        <x:v>Manage</x:v>
      </x:c>
      <x:c r="D17" t="str">
        <x:f>IF(B17&gt;=10,"OK","Need Map")</x:f>
        <x:v>OK</x:v>
      </x:c>
    </x:row>
    <x:row r="18">
      <x:c r="A18" t="str">
        <x:v>Not Started</x:v>
      </x:c>
      <x:c r="B18" t="n">
        <x:f>COUNTIF('Gap Map'!E2:E200,"Not Started")</x:f>
        <x:v>6</x:v>
      </x:c>
      <x:c r="C18" t="str">
        <x:v>Reduce</x:v>
      </x:c>
      <x:c r="D18" t="str">
        <x:f>IF(B18&gt;=10,"OK","Need Map")</x:f>
        <x:v>Need Map</x:v>
      </x:c>
    </x:row>
    <x:row r="19">
      <x:c r="A19" t="str">
        <x:v>P0 Items</x:v>
      </x:c>
      <x:c r="B19" t="n">
        <x:f>COUNTIF('Gap Map'!F2:F200,"P0")</x:f>
        <x:v>12</x:v>
      </x:c>
      <x:c r="C19" t="str">
        <x:v>Focus</x:v>
      </x:c>
      <x:c r="D19" t="str">
        <x:f>IF(B19&gt;=10,"OK","Need Map")</x:f>
        <x:v>OK</x:v>
      </x:c>
    </x:row>
    <x:row r="20">
      <x:c r="A20" t="str">
        <x:v>Blocked</x:v>
      </x:c>
      <x:c r="B20" t="n">
        <x:f>COUNTIF('Gap Map'!E2:E200,"Blocked")</x:f>
        <x:v>0</x:v>
      </x:c>
      <x:c r="C20" t="str">
        <x:v>0</x:v>
      </x:c>
      <x:c r="D20" t="str">
        <x:f>IF(B20&gt;=10,"OK","Need Map")</x:f>
        <x:v>Need Map</x:v>
      </x:c>
    </x:row>
    <x:row r="21">
      <x:c r="A21" t="str">
        <x:v>Next Sprint Items</x:v>
      </x:c>
      <x:c r="B21" t="n">
        <x:f>COUNTIF(Roadmap!E2:E100,"Next")</x:f>
        <x:v>4</x:v>
      </x:c>
      <x:c r="C21" t="str">
        <x:v>3-5</x:v>
      </x:c>
      <x:c r="D21" t="str">
        <x:f>IF(B21&gt;=10,"OK","Need Map")</x:f>
        <x:v>Need Map</x:v>
      </x:c>
    </x:row>
  </x:sheetData>
  <x:mergeCells>
    <x:mergeCell ref="A1:H1"/>
    <x:mergeCell ref="B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14" hidden="0" customWidth="1"/>
    <x:col min="4" max="4" width="12" hidden="0" customWidth="1"/>
    <x:col min="5" max="5" width="14" hidden="0" customWidth="1"/>
    <x:col min="6" max="6" width="10" hidden="0" customWidth="1"/>
    <x:col min="7" max="7" width="38" hidden="0" customWidth="1"/>
    <x:col min="8" max="8" width="30" hidden="0" customWidth="1"/>
    <x:col min="9" max="9" width="18" hidden="0" customWidth="1"/>
    <x:col min="10" max="10" width="14" hidden="0" customWidth="1"/>
    <x:col min="11" max="11" width="42" hidden="0" customWidth="1"/>
  </x:cols>
  <x:sheetData>
    <x:row r="1">
      <x:c r="A1" s="34" t="str">
        <x:v>Component</x:v>
      </x:c>
      <x:c r="B1" s="34" t="str">
        <x:v>System Role</x:v>
      </x:c>
      <x:c r="C1" s="34" t="str">
        <x:v>Already Exists?</x:v>
      </x:c>
      <x:c r="D1" s="34" t="str">
        <x:v>Completion %</x:v>
      </x:c>
      <x:c r="E1" s="34" t="str">
        <x:v>Status</x:v>
      </x:c>
      <x:c r="F1" s="34" t="str">
        <x:v>Priority</x:v>
      </x:c>
      <x:c r="G1" s="34" t="str">
        <x:v>Gap / Missing Piece</x:v>
      </x:c>
      <x:c r="H1" s="34" t="str">
        <x:v>Next Action</x:v>
      </x:c>
      <x:c r="I1" s="34" t="str">
        <x:v>Owner</x:v>
      </x:c>
      <x:c r="J1" s="34" t="str">
        <x:v>Duplicate Risk</x:v>
      </x:c>
      <x:c r="K1" s="34" t="str">
        <x:v>Notes</x:v>
      </x:c>
    </x:row>
    <x:row r="2">
      <x:c r="A2" t="str">
        <x:v>Live Master</x:v>
      </x:c>
      <x:c r="B2" t="str">
        <x:v>Source of truth for architecture, research objects, evidence, registry</x:v>
      </x:c>
      <x:c r="C2" t="str">
        <x:v>Yes</x:v>
      </x:c>
      <x:c r="D2" t="n">
        <x:v>95</x:v>
      </x:c>
      <x:c r="E2" t="str">
        <x:v>Complete</x:v>
      </x:c>
      <x:c r="F2" t="str">
        <x:v>P0</x:v>
      </x:c>
      <x:c r="G2" t="str">
        <x:v>Needs ongoing version discipline</x:v>
      </x:c>
      <x:c r="H2" t="str">
        <x:v>Freeze as source of truth</x:v>
      </x:c>
      <x:c r="I2" t="str">
        <x:v>A-ZION</x:v>
      </x:c>
      <x:c r="J2" t="str">
        <x:v>Low</x:v>
      </x:c>
      <x:c r="K2" t="str">
        <x:v>Do not create competing master.</x:v>
      </x:c>
    </x:row>
    <x:row r="3">
      <x:c r="A3" t="str">
        <x:v>Gold Master Index</x:v>
      </x:c>
      <x:c r="B3" t="str">
        <x:v>Gold/Silver/Watch registry and pipeline</x:v>
      </x:c>
      <x:c r="C3" t="str">
        <x:v>Yes</x:v>
      </x:c>
      <x:c r="D3" t="n">
        <x:v>90</x:v>
      </x:c>
      <x:c r="E3" t="str">
        <x:v>Complete</x:v>
      </x:c>
      <x:c r="F3" t="str">
        <x:v>P0</x:v>
      </x:c>
      <x:c r="G3" t="str">
        <x:v>Needs sync after every batch</x:v>
      </x:c>
      <x:c r="H3" t="str">
        <x:v>Maintain after each sprint</x:v>
      </x:c>
      <x:c r="I3" t="str">
        <x:v>A-ZION</x:v>
      </x:c>
      <x:c r="J3" t="str">
        <x:v>Low</x:v>
      </x:c>
      <x:c r="K3" t="str">
        <x:v>Registry already exists.</x:v>
      </x:c>
    </x:row>
    <x:row r="4">
      <x:c r="A4" t="str">
        <x:v>Gold Registry IDs</x:v>
      </x:c>
      <x:c r="B4" t="str">
        <x:v>Unique asset identities for Gold assets</x:v>
      </x:c>
      <x:c r="C4" t="str">
        <x:v>Yes</x:v>
      </x:c>
      <x:c r="D4" t="n">
        <x:v>85</x:v>
      </x:c>
      <x:c r="E4" t="str">
        <x:v>Complete</x:v>
      </x:c>
      <x:c r="F4" t="str">
        <x:v>P0</x:v>
      </x:c>
      <x:c r="G4" t="str">
        <x:v>Need mapping to AZ-ID Universe IDs</x:v>
      </x:c>
      <x:c r="H4" t="str">
        <x:v>Integrate with Universe</x:v>
      </x:c>
      <x:c r="I4" t="str">
        <x:v>A-ZION</x:v>
      </x:c>
      <x:c r="J4" t="str">
        <x:v>Medium</x:v>
      </x:c>
      <x:c r="K4" t="str">
        <x:v>Avoid duplicate IDs.</x:v>
      </x:c>
    </x:row>
    <x:row r="5">
      <x:c r="A5" t="str">
        <x:v>Research Layers</x:v>
      </x:c>
      <x:c r="B5" t="str">
        <x:v>Deep sector/layer reports</x:v>
      </x:c>
      <x:c r="C5" t="str">
        <x:v>Yes</x:v>
      </x:c>
      <x:c r="D5" t="n">
        <x:v>80</x:v>
      </x:c>
      <x:c r="E5" t="str">
        <x:v>Complete</x:v>
      </x:c>
      <x:c r="F5" t="str">
        <x:v>P1</x:v>
      </x:c>
      <x:c r="G5" t="str">
        <x:v>Some layers still missing or not normalized</x:v>
      </x:c>
      <x:c r="H5" t="str">
        <x:v>Continue targeted layers only</x:v>
      </x:c>
      <x:c r="I5" t="str">
        <x:v>Research Engine</x:v>
      </x:c>
      <x:c r="J5" t="str">
        <x:v>Low</x:v>
      </x:c>
      <x:c r="K5" t="str">
        <x:v>Research base strong.</x:v>
      </x:c>
    </x:row>
    <x:row r="6">
      <x:c r="A6" t="str">
        <x:v>AI Water Infrastructure</x:v>
      </x:c>
      <x:c r="B6" t="str">
        <x:v>Missing research layer</x:v>
      </x:c>
      <x:c r="C6" t="str">
        <x:v>No</x:v>
      </x:c>
      <x:c r="D6" t="n">
        <x:v>0</x:v>
      </x:c>
      <x:c r="E6" t="str">
        <x:v>Not Started</x:v>
      </x:c>
      <x:c r="F6" t="str">
        <x:v>P1</x:v>
      </x:c>
      <x:c r="G6" t="str">
        <x:v>Full layer not yet built</x:v>
      </x:c>
      <x:c r="H6" t="str">
        <x:v>Build after system core stabilized</x:v>
      </x:c>
      <x:c r="I6" t="str">
        <x:v>Research Engine</x:v>
      </x:c>
      <x:c r="J6" t="str">
        <x:v>Low</x:v>
      </x:c>
      <x:c r="K6" t="str">
        <x:v>Next research sprint candidate.</x:v>
      </x:c>
    </x:row>
    <x:row r="7">
      <x:c r="A7" t="str">
        <x:v>Universe Master</x:v>
      </x:c>
      <x:c r="B7" t="str">
        <x:v>Tradable asset universe and scanner input</x:v>
      </x:c>
      <x:c r="C7" t="str">
        <x:v>Yes</x:v>
      </x:c>
      <x:c r="D7" t="n">
        <x:v>20</x:v>
      </x:c>
      <x:c r="E7" t="str">
        <x:v>In Progress</x:v>
      </x:c>
      <x:c r="F7" t="str">
        <x:v>P0</x:v>
      </x:c>
      <x:c r="G7" t="str">
        <x:v>Needs full asset normalization and coverage expansion</x:v>
      </x:c>
      <x:c r="H7" t="str">
        <x:v>Expand to official 100 Gold universe</x:v>
      </x:c>
      <x:c r="I7" t="str">
        <x:v>A-ZION</x:v>
      </x:c>
      <x:c r="J7" t="str">
        <x:v>Low</x:v>
      </x:c>
      <x:c r="K7" t="str">
        <x:v>Created as new operational layer, not duplicate master.</x:v>
      </x:c>
    </x:row>
    <x:row r="8">
      <x:c r="A8" t="str">
        <x:v>Asset Registry Object Model</x:v>
      </x:c>
      <x:c r="B8" t="str">
        <x:v>Structured identity per company</x:v>
      </x:c>
      <x:c r="C8" t="str">
        <x:v>Partial</x:v>
      </x:c>
      <x:c r="D8" t="n">
        <x:v>30</x:v>
      </x:c>
      <x:c r="E8" t="str">
        <x:v>Partial</x:v>
      </x:c>
      <x:c r="F8" t="str">
        <x:v>P0</x:v>
      </x:c>
      <x:c r="G8" t="str">
        <x:v>Need normalized fields, links to research, unique IDs</x:v>
      </x:c>
      <x:c r="H8" t="str">
        <x:v>Merge Gold Registry + Universe schema</x:v>
      </x:c>
      <x:c r="I8" t="str">
        <x:v>A-ZION</x:v>
      </x:c>
      <x:c r="J8" t="str">
        <x:v>Medium</x:v>
      </x:c>
      <x:c r="K8" t="str">
        <x:v>This is integration, not new research.</x:v>
      </x:c>
    </x:row>
    <x:row r="9">
      <x:c r="A9" t="str">
        <x:v>Daily Intelligence Report</x:v>
      </x:c>
      <x:c r="B9" t="str">
        <x:v>End-of-day market report</x:v>
      </x:c>
      <x:c r="C9" t="str">
        <x:v>Yes</x:v>
      </x:c>
      <x:c r="D9" t="n">
        <x:v>25</x:v>
      </x:c>
      <x:c r="E9" t="str">
        <x:v>In Progress</x:v>
      </x:c>
      <x:c r="F9" t="str">
        <x:v>P0</x:v>
      </x:c>
      <x:c r="G9" t="str">
        <x:v>Needs full market data pipeline, indicators, scanning rules</x:v>
      </x:c>
      <x:c r="H9" t="str">
        <x:v>Define report schema + data requirements</x:v>
      </x:c>
      <x:c r="I9" t="str">
        <x:v>Daily Engine</x:v>
      </x:c>
      <x:c r="J9" t="str">
        <x:v>Low</x:v>
      </x:c>
      <x:c r="K9" t="str">
        <x:v>Pilot completed.</x:v>
      </x:c>
    </x:row>
    <x:row r="10">
      <x:c r="A10" t="str">
        <x:v>Daily Scanner Engine</x:v>
      </x:c>
      <x:c r="B10" t="str">
        <x:v>Automated scan across Universe</x:v>
      </x:c>
      <x:c r="C10" t="str">
        <x:v>No</x:v>
      </x:c>
      <x:c r="D10" t="n">
        <x:v>10</x:v>
      </x:c>
      <x:c r="E10" t="str">
        <x:v>Not Started</x:v>
      </x:c>
      <x:c r="F10" t="str">
        <x:v>P0</x:v>
      </x:c>
      <x:c r="G10" t="str">
        <x:v>Need market data source, technical rules, filters</x:v>
      </x:c>
      <x:c r="H10" t="str">
        <x:v>Build scanner specification</x:v>
      </x:c>
      <x:c r="I10" t="str">
        <x:v>Daily Engine</x:v>
      </x:c>
      <x:c r="J10" t="str">
        <x:v>Low</x:v>
      </x:c>
      <x:c r="K10" t="str">
        <x:v>Core operational priority.</x:v>
      </x:c>
    </x:row>
    <x:row r="11">
      <x:c r="A11" t="str">
        <x:v>Technical Data Pipeline</x:v>
      </x:c>
      <x:c r="B11" t="str">
        <x:v>EOD price, volume, MA, RSI, MACD, ATR</x:v>
      </x:c>
      <x:c r="C11" t="str">
        <x:v>Partial</x:v>
      </x:c>
      <x:c r="D11" t="n">
        <x:v>15</x:v>
      </x:c>
      <x:c r="E11" t="str">
        <x:v>Partial</x:v>
      </x:c>
      <x:c r="F11" t="str">
        <x:v>P0</x:v>
      </x:c>
      <x:c r="G11" t="str">
        <x:v>Current manual/ad hoc data access</x:v>
      </x:c>
      <x:c r="H11" t="str">
        <x:v>Define required data fields and fallback rules</x:v>
      </x:c>
      <x:c r="I11" t="str">
        <x:v>Daily Engine</x:v>
      </x:c>
      <x:c r="J11" t="str">
        <x:v>Low</x:v>
      </x:c>
      <x:c r="K11" t="str">
        <x:v>Must disclose stale data.</x:v>
      </x:c>
    </x:row>
    <x:row r="12">
      <x:c r="A12" t="str">
        <x:v>News &amp; Catalyst Pipeline</x:v>
      </x:c>
      <x:c r="B12" t="str">
        <x:v>Daily news + AI infrastructure catalyst detection</x:v>
      </x:c>
      <x:c r="C12" t="str">
        <x:v>Partial</x:v>
      </x:c>
      <x:c r="D12" t="n">
        <x:v>20</x:v>
      </x:c>
      <x:c r="E12" t="str">
        <x:v>Partial</x:v>
      </x:c>
      <x:c r="F12" t="str">
        <x:v>P1</x:v>
      </x:c>
      <x:c r="G12" t="str">
        <x:v>Need standardized source and scoring rules</x:v>
      </x:c>
      <x:c r="H12" t="str">
        <x:v>Create catalyst taxonomy</x:v>
      </x:c>
      <x:c r="I12" t="str">
        <x:v>Research Engine</x:v>
      </x:c>
      <x:c r="J12" t="str">
        <x:v>Low</x:v>
      </x:c>
      <x:c r="K12" t="str">
        <x:v>Use reliable sources only.</x:v>
      </x:c>
    </x:row>
    <x:row r="13">
      <x:c r="A13" t="str">
        <x:v>A-ZION Scoring Engine</x:v>
      </x:c>
      <x:c r="B13" t="str">
        <x:v>Unified scoring for setups and assets</x:v>
      </x:c>
      <x:c r="C13" t="str">
        <x:v>Partial</x:v>
      </x:c>
      <x:c r="D13" t="n">
        <x:v>40</x:v>
      </x:c>
      <x:c r="E13" t="str">
        <x:v>Partial</x:v>
      </x:c>
      <x:c r="F13" t="str">
        <x:v>P0</x:v>
      </x:c>
      <x:c r="G13" t="str">
        <x:v>Methodology exists but not fully encoded in file</x:v>
      </x:c>
      <x:c r="H13" t="str">
        <x:v>Convert standards into formula/spec</x:v>
      </x:c>
      <x:c r="I13" t="str">
        <x:v>A-ZION</x:v>
      </x:c>
      <x:c r="J13" t="str">
        <x:v>Medium</x:v>
      </x:c>
      <x:c r="K13" t="str">
        <x:v>Do not invent new rating system.</x:v>
      </x:c>
    </x:row>
    <x:row r="14">
      <x:c r="A14" t="str">
        <x:v>Decision Engine</x:v>
      </x:c>
      <x:c r="B14" t="str">
        <x:v>Buy/Add/Hold/Reduce/Avoid logic</x:v>
      </x:c>
      <x:c r="C14" t="str">
        <x:v>No</x:v>
      </x:c>
      <x:c r="D14" t="n">
        <x:v>0</x:v>
      </x:c>
      <x:c r="E14" t="str">
        <x:v>Not Started</x:v>
      </x:c>
      <x:c r="F14" t="str">
        <x:v>P1</x:v>
      </x:c>
      <x:c r="G14" t="str">
        <x:v>No formal decision rules yet</x:v>
      </x:c>
      <x:c r="H14" t="str">
        <x:v>Design after scanner rules</x:v>
      </x:c>
      <x:c r="I14" t="str">
        <x:v>A-ZION</x:v>
      </x:c>
      <x:c r="J14" t="str">
        <x:v>Low</x:v>
      </x:c>
      <x:c r="K14" t="str">
        <x:v>Depends on scoring engine.</x:v>
      </x:c>
    </x:row>
    <x:row r="15">
      <x:c r="A15" t="str">
        <x:v>Portfolio OS</x:v>
      </x:c>
      <x:c r="B15" t="str">
        <x:v>Track holdings, sizing, stops, targets, P/L</x:v>
      </x:c>
      <x:c r="C15" t="str">
        <x:v>No</x:v>
      </x:c>
      <x:c r="D15" t="n">
        <x:v>0</x:v>
      </x:c>
      <x:c r="E15" t="str">
        <x:v>Not Started</x:v>
      </x:c>
      <x:c r="F15" t="str">
        <x:v>P1</x:v>
      </x:c>
      <x:c r="G15" t="str">
        <x:v>No current portfolio file linked</x:v>
      </x:c>
      <x:c r="H15" t="str">
        <x:v>Build after Universe + scanner</x:v>
      </x:c>
      <x:c r="I15" t="str">
        <x:v>User</x:v>
      </x:c>
      <x:c r="J15" t="str">
        <x:v>Low</x:v>
      </x:c>
      <x:c r="K15" t="str">
        <x:v>Requires portfolio holdings from user.</x:v>
      </x:c>
    </x:row>
    <x:row r="16">
      <x:c r="A16" t="str">
        <x:v>Trade Journal</x:v>
      </x:c>
      <x:c r="B16" t="str">
        <x:v>Decision history and performance learning</x:v>
      </x:c>
      <x:c r="C16" t="str">
        <x:v>No</x:v>
      </x:c>
      <x:c r="D16" t="n">
        <x:v>0</x:v>
      </x:c>
      <x:c r="E16" t="str">
        <x:v>Not Started</x:v>
      </x:c>
      <x:c r="F16" t="str">
        <x:v>P2</x:v>
      </x:c>
      <x:c r="G16" t="str">
        <x:v>No journal schema</x:v>
      </x:c>
      <x:c r="H16" t="str">
        <x:v>Create once first actionable trades occur</x:v>
      </x:c>
      <x:c r="I16" t="str">
        <x:v>User</x:v>
      </x:c>
      <x:c r="J16" t="str">
        <x:v>Low</x:v>
      </x:c>
      <x:c r="K16" t="str">
        <x:v>Learning engine depends on it.</x:v>
      </x:c>
    </x:row>
    <x:row r="17">
      <x:c r="A17" t="str">
        <x:v>Evidence Registry</x:v>
      </x:c>
      <x:c r="B17" t="str">
        <x:v>Source/evidence traceability</x:v>
      </x:c>
      <x:c r="C17" t="str">
        <x:v>Yes</x:v>
      </x:c>
      <x:c r="D17" t="n">
        <x:v>75</x:v>
      </x:c>
      <x:c r="E17" t="str">
        <x:v>Complete</x:v>
      </x:c>
      <x:c r="F17" t="str">
        <x:v>P1</x:v>
      </x:c>
      <x:c r="G17" t="str">
        <x:v>Needs integration into Universe rows</x:v>
      </x:c>
      <x:c r="H17" t="str">
        <x:v>Add evidence links by asset/layer</x:v>
      </x:c>
      <x:c r="I17" t="str">
        <x:v>Research Engine</x:v>
      </x:c>
      <x:c r="J17" t="str">
        <x:v>Medium</x:v>
      </x:c>
      <x:c r="K17" t="str">
        <x:v>Critical for trust.</x:v>
      </x:c>
    </x:row>
    <x:row r="18">
      <x:c r="A18" t="str">
        <x:v>Cross-Layer Validation</x:v>
      </x:c>
      <x:c r="B18" t="str">
        <x:v>Same company across layers gets one identity</x:v>
      </x:c>
      <x:c r="C18" t="str">
        <x:v>Yes</x:v>
      </x:c>
      <x:c r="D18" t="n">
        <x:v>80</x:v>
      </x:c>
      <x:c r="E18" t="str">
        <x:v>Complete</x:v>
      </x:c>
      <x:c r="F18" t="str">
        <x:v>P0</x:v>
      </x:c>
      <x:c r="G18" t="str">
        <x:v>Needs enforcement inside Universe</x:v>
      </x:c>
      <x:c r="H18" t="str">
        <x:v>Add Cross-Layer column and validation</x:v>
      </x:c>
      <x:c r="I18" t="str">
        <x:v>A-ZION</x:v>
      </x:c>
      <x:c r="J18" t="str">
        <x:v>Low</x:v>
      </x:c>
      <x:c r="K18" t="str">
        <x:v>Architecture rule exists.</x:v>
      </x:c>
    </x:row>
    <x:row r="19">
      <x:c r="A19" t="str">
        <x:v>Strategic Core 25</x:v>
      </x:c>
      <x:c r="B19" t="str">
        <x:v>Highest-conviction core list</x:v>
      </x:c>
      <x:c r="C19" t="str">
        <x:v>Planned</x:v>
      </x:c>
      <x:c r="D19" t="n">
        <x:v>0</x:v>
      </x:c>
      <x:c r="E19" t="str">
        <x:v>Not Started</x:v>
      </x:c>
      <x:c r="F19" t="str">
        <x:v>P1</x:v>
      </x:c>
      <x:c r="G19" t="str">
        <x:v>Not yet built after full Universe</x:v>
      </x:c>
      <x:c r="H19" t="str">
        <x:v>Build after Gap Map + Universe cleanup</x:v>
      </x:c>
      <x:c r="I19" t="str">
        <x:v>A-ZION</x:v>
      </x:c>
      <x:c r="J19" t="str">
        <x:v>Low</x:v>
      </x:c>
      <x:c r="K19" t="str">
        <x:v>Master recommends this.</x:v>
      </x:c>
    </x:row>
    <x:row r="20">
      <x:c r="A20" t="str">
        <x:v>Master Gap Map</x:v>
      </x:c>
      <x:c r="B20" t="str">
        <x:v>Project control and duplication prevention</x:v>
      </x:c>
      <x:c r="C20" t="str">
        <x:v>No</x:v>
      </x:c>
      <x:c r="D20" t="n">
        <x:v>0</x:v>
      </x:c>
      <x:c r="E20" t="str">
        <x:v>In Progress</x:v>
      </x:c>
      <x:c r="F20" t="str">
        <x:v>P0</x:v>
      </x:c>
      <x:c r="G20" t="str">
        <x:v>This workbook is initial version</x:v>
      </x:c>
      <x:c r="H20" t="str">
        <x:v>Review and freeze v1.0</x:v>
      </x:c>
      <x:c r="I20" t="str">
        <x:v>A-ZION</x:v>
      </x:c>
      <x:c r="J20" t="str">
        <x:v>Low</x:v>
      </x:c>
      <x:c r="K20" t="str">
        <x:v>Current artifact.</x:v>
      </x:c>
    </x:row>
    <x:row r="21">
      <x:c r="A21" t="str">
        <x:v>Codex Workspace</x:v>
      </x:c>
      <x:c r="B21" t="str">
        <x:v>Local repo/file system workflow</x:v>
      </x:c>
      <x:c r="C21" t="str">
        <x:v>Partial</x:v>
      </x:c>
      <x:c r="D21" t="n">
        <x:v>35</x:v>
      </x:c>
      <x:c r="E21" t="str">
        <x:v>Partial</x:v>
      </x:c>
      <x:c r="F21" t="str">
        <x:v>P1</x:v>
      </x:c>
      <x:c r="G21" t="str">
        <x:v>Folder skeleton exists; needs live sync discipline</x:v>
      </x:c>
      <x:c r="H21" t="str">
        <x:v>Add files and versioning rules</x:v>
      </x:c>
      <x:c r="I21" t="str">
        <x:v>Codex</x:v>
      </x:c>
      <x:c r="J21" t="str">
        <x:v>Low</x:v>
      </x:c>
      <x:c r="K21" t="str">
        <x:v>Useful for persistence.</x:v>
      </x:c>
    </x:row>
    <x:row r="22">
      <x:c r="A22" t="str">
        <x:v>Version Log</x:v>
      </x:c>
      <x:c r="B22" t="str">
        <x:v>Change history</x:v>
      </x:c>
      <x:c r="C22" t="str">
        <x:v>Yes</x:v>
      </x:c>
      <x:c r="D22" t="n">
        <x:v>65</x:v>
      </x:c>
      <x:c r="E22" t="str">
        <x:v>Complete</x:v>
      </x:c>
      <x:c r="F22" t="str">
        <x:v>P1</x:v>
      </x:c>
      <x:c r="G22" t="str">
        <x:v>Needs mandatory update rule</x:v>
      </x:c>
      <x:c r="H22" t="str">
        <x:v>Append after every export</x:v>
      </x:c>
      <x:c r="I22" t="str">
        <x:v>A-ZION</x:v>
      </x:c>
      <x:c r="J22" t="str">
        <x:v>Low</x:v>
      </x:c>
      <x:c r="K22" t="str">
        <x:v>Governance component.</x:v>
      </x:c>
    </x:row>
    <x:row r="23">
      <x:c r="A23" t="str">
        <x:v>Data Dictionary</x:v>
      </x:c>
      <x:c r="B23" t="str">
        <x:v>Field definitions for Universe/Scanner</x:v>
      </x:c>
      <x:c r="C23" t="str">
        <x:v>Partial</x:v>
      </x:c>
      <x:c r="D23" t="n">
        <x:v>25</x:v>
      </x:c>
      <x:c r="E23" t="str">
        <x:v>Partial</x:v>
      </x:c>
      <x:c r="F23" t="str">
        <x:v>P0</x:v>
      </x:c>
      <x:c r="G23" t="str">
        <x:v>Needs formal definitions</x:v>
      </x:c>
      <x:c r="H23" t="str">
        <x:v>Create dictionary in Universe + Gap Map</x:v>
      </x:c>
      <x:c r="I23" t="str">
        <x:v>A-ZION</x:v>
      </x:c>
      <x:c r="J23" t="str">
        <x:v>Low</x:v>
      </x:c>
      <x:c r="K23" t="str">
        <x:v>Prevents confusion.</x:v>
      </x:c>
    </x:row>
    <x:row r="24">
      <x:c r="A24" t="str">
        <x:v>Private / Non-tradable Assets Handling</x:v>
      </x:c>
      <x:c r="B24" t="str">
        <x:v>SpaceX, Epic, Anduril, private companies</x:v>
      </x:c>
      <x:c r="C24" t="str">
        <x:v>Partial</x:v>
      </x:c>
      <x:c r="D24" t="n">
        <x:v>40</x:v>
      </x:c>
      <x:c r="E24" t="str">
        <x:v>Partial</x:v>
      </x:c>
      <x:c r="F24" t="str">
        <x:v>P1</x:v>
      </x:c>
      <x:c r="G24" t="str">
        <x:v>Need rules for scanner eligibility</x:v>
      </x:c>
      <x:c r="H24" t="str">
        <x:v>Separate Research Eligible vs Trading Eligible</x:v>
      </x:c>
      <x:c r="I24" t="str">
        <x:v>A-ZION</x:v>
      </x:c>
      <x:c r="J24" t="str">
        <x:v>Low</x:v>
      </x:c>
      <x:c r="K24" t="str">
        <x:v>Important for daily reports.</x:v>
      </x:c>
    </x:row>
    <x:row r="25">
      <x:c r="A25" t="str">
        <x:v>ETFs / Indices Handling</x:v>
      </x:c>
      <x:c r="B25" t="str">
        <x:v>SPY/QQQ/sector ETFs as regime inputs</x:v>
      </x:c>
      <x:c r="C25" t="str">
        <x:v>Partial</x:v>
      </x:c>
      <x:c r="D25" t="n">
        <x:v>30</x:v>
      </x:c>
      <x:c r="E25" t="str">
        <x:v>Partial</x:v>
      </x:c>
      <x:c r="F25" t="str">
        <x:v>P1</x:v>
      </x:c>
      <x:c r="G25" t="str">
        <x:v>Need official list of market instruments</x:v>
      </x:c>
      <x:c r="H25" t="str">
        <x:v>Add Market Instruments tab to Universe</x:v>
      </x:c>
      <x:c r="I25" t="str">
        <x:v>Daily Engine</x:v>
      </x:c>
      <x:c r="J25" t="str">
        <x:v>Low</x:v>
      </x:c>
      <x:c r="K25" t="str">
        <x:v>Not companies, but needed.</x:v>
      </x:c>
    </x:row>
    <x:row r="26">
      <x:c r="A26" t="str">
        <x:v>Risk Framework</x:v>
      </x:c>
      <x:c r="B26" t="str">
        <x:v>Position/risk limits and invalidation</x:v>
      </x:c>
      <x:c r="C26" t="str">
        <x:v>Partial</x:v>
      </x:c>
      <x:c r="D26" t="n">
        <x:v>35</x:v>
      </x:c>
      <x:c r="E26" t="str">
        <x:v>Partial</x:v>
      </x:c>
      <x:c r="F26" t="str">
        <x:v>P1</x:v>
      </x:c>
      <x:c r="G26" t="str">
        <x:v>Needs portfolio-specific risk rules</x:v>
      </x:c>
      <x:c r="H26" t="str">
        <x:v>Define after user portfolio input</x:v>
      </x:c>
      <x:c r="I26" t="str">
        <x:v>User</x:v>
      </x:c>
      <x:c r="J26" t="str">
        <x:v>Low</x:v>
      </x:c>
      <x:c r="K26" t="str">
        <x:v>Cannot finalize without risk preferences.</x:v>
      </x:c>
    </x:row>
  </x:sheetData>
  <x:conditionalFormatting sqref="E2:E200">
    <x:cfRule type="expression" dxfId="0" priority="1">
      <x:formula>E2="Complete"</x:formula>
    </x:cfRule>
    <x:cfRule type="expression" dxfId="1" priority="2">
      <x:formula>E2="Frozen"</x:formula>
    </x:cfRule>
    <x:cfRule type="expression" dxfId="2" priority="3">
      <x:formula>E2="In Progress"</x:formula>
    </x:cfRule>
    <x:cfRule type="expression" dxfId="3" priority="4">
      <x:formula>E2="Not Started"</x:formula>
    </x:cfRule>
  </x:conditionalFormatting>
  <x:conditionalFormatting sqref="F2:F200">
    <x:cfRule type="expression" dxfId="4" priority="5">
      <x:formula>F2="P0"</x:formula>
    </x:cfRule>
  </x:conditionalFormatting>
  <x:conditionalFormatting sqref="D2:D200">
    <x:cfRule type="dataBar" priority="6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{2A489C33-7467-A3BE-1A05-C0B0D8BE31F9}</x14:id>
        </x:ext>
      </x:extLst>
    </x:cfRule>
  </x:conditionalFormatting>
  <x:dataValidations count="4">
    <x:dataValidation type="list" sqref="E2:E200">
      <x:formula1>Lists!$A$2:$A$7</x:formula1>
    </x:dataValidation>
    <x:dataValidation type="list" sqref="F2:F200">
      <x:formula1>Lists!$B$2:$B$5</x:formula1>
    </x:dataValidation>
    <x:dataValidation type="list" sqref="H2:H200">
      <x:formula1>Lists!$D$2:$D$8</x:formula1>
    </x:dataValidation>
    <x:dataValidation type="list" sqref="I2:I200">
      <x:formula1>Lists!$E$2:$E$6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eb29497bae476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2A489C33-7467-A3BE-1A05-C0B0D8BE31F9}">
            <x14:dataBar gradient="1">
              <x14:cfvo type="min"/>
              <x14:cfvo type="max"/>
              <x14:fillColor rgb="FF2563EB"/>
            </x14:dataBar>
          </x14:cfRule>
          <xm:sqref>D2:D200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24" hidden="0" customWidth="1"/>
    <x:col min="5" max="5" width="12" hidden="0" customWidth="1"/>
    <x:col min="6" max="6" width="10" hidden="0" customWidth="1"/>
    <x:col min="7" max="7" width="42" hidden="0" customWidth="1"/>
  </x:cols>
  <x:sheetData>
    <x:row r="1">
      <x:c r="A1" s="38" t="str">
        <x:v>Phase</x:v>
      </x:c>
      <x:c r="B1" s="38" t="str">
        <x:v>Workstream</x:v>
      </x:c>
      <x:c r="C1" s="38" t="str">
        <x:v>Deliverable</x:v>
      </x:c>
      <x:c r="D1" s="38" t="str">
        <x:v>Dependency</x:v>
      </x:c>
      <x:c r="E1" s="38" t="str">
        <x:v>Sprint</x:v>
      </x:c>
      <x:c r="F1" s="38" t="str">
        <x:v>Priority</x:v>
      </x:c>
      <x:c r="G1" s="38" t="str">
        <x:v>Exit Criteria</x:v>
      </x:c>
      <x:c r="H1" s="29"/>
      <x:c r="I1" s="29"/>
      <x:c r="J1" s="29"/>
      <x:c r="K1" s="29"/>
    </x:row>
    <x:row r="2">
      <x:c r="A2" t="str">
        <x:v>Phase 1</x:v>
      </x:c>
      <x:c r="B2" t="str">
        <x:v>Governance</x:v>
      </x:c>
      <x:c r="C2" t="str">
        <x:v>Freeze Gap Map v1.0</x:v>
      </x:c>
      <x:c r="D2" t="str">
        <x:v>Master v2.3</x:v>
      </x:c>
      <x:c r="E2" t="str">
        <x:v>Next</x:v>
      </x:c>
      <x:c r="F2" t="str">
        <x:v>P0</x:v>
      </x:c>
      <x:c r="G2" t="str">
        <x:v>Approved by user and used before new builds</x:v>
      </x:c>
    </x:row>
    <x:row r="3">
      <x:c r="A3" t="str">
        <x:v>Phase 1</x:v>
      </x:c>
      <x:c r="B3" t="str">
        <x:v>Universe</x:v>
      </x:c>
      <x:c r="C3" t="str">
        <x:v>Expand/clean Gold Universe 100</x:v>
      </x:c>
      <x:c r="D3" t="str">
        <x:v>Universe v1.0</x:v>
      </x:c>
      <x:c r="E3" t="str">
        <x:v>Next</x:v>
      </x:c>
      <x:c r="F3" t="str">
        <x:v>P0</x:v>
      </x:c>
      <x:c r="G3" t="str">
        <x:v>One row per tradable Gold asset with AZ-ID</x:v>
      </x:c>
    </x:row>
    <x:row r="4">
      <x:c r="A4" t="str">
        <x:v>Phase 1</x:v>
      </x:c>
      <x:c r="B4" t="str">
        <x:v>Data Dictionary</x:v>
      </x:c>
      <x:c r="C4" t="str">
        <x:v>Define fields for scanner + universe</x:v>
      </x:c>
      <x:c r="D4" t="str">
        <x:v>Gap Map</x:v>
      </x:c>
      <x:c r="E4" t="str">
        <x:v>Next</x:v>
      </x:c>
      <x:c r="F4" t="str">
        <x:v>P0</x:v>
      </x:c>
      <x:c r="G4" t="str">
        <x:v>No ambiguous fields</x:v>
      </x:c>
    </x:row>
    <x:row r="5">
      <x:c r="A5" t="str">
        <x:v>Phase 2</x:v>
      </x:c>
      <x:c r="B5" t="str">
        <x:v>Scanner</x:v>
      </x:c>
      <x:c r="C5" t="str">
        <x:v>Daily Scanner Spec</x:v>
      </x:c>
      <x:c r="D5" t="str">
        <x:v>Universe 100</x:v>
      </x:c>
      <x:c r="E5" t="str">
        <x:v>Next</x:v>
      </x:c>
      <x:c r="F5" t="str">
        <x:v>P0</x:v>
      </x:c>
      <x:c r="G5" t="str">
        <x:v>Clear filters for EOD price, volume, RSI, MACD, MA, ATR</x:v>
      </x:c>
    </x:row>
    <x:row r="6">
      <x:c r="A6" t="str">
        <x:v>Phase 2</x:v>
      </x:c>
      <x:c r="B6" t="str">
        <x:v>Daily Report</x:v>
      </x:c>
      <x:c r="C6" t="str">
        <x:v>Daily Intelligence template v2</x:v>
      </x:c>
      <x:c r="D6" t="str">
        <x:v>Scanner Spec</x:v>
      </x:c>
      <x:c r="E6" t="str">
        <x:v>Next+1</x:v>
      </x:c>
      <x:c r="F6" t="str">
        <x:v>P0</x:v>
      </x:c>
      <x:c r="G6" t="str">
        <x:v>Consistent report format with data disclosure</x:v>
      </x:c>
    </x:row>
    <x:row r="7">
      <x:c r="A7" t="str">
        <x:v>Phase 3</x:v>
      </x:c>
      <x:c r="B7" t="str">
        <x:v>Scoring</x:v>
      </x:c>
      <x:c r="C7" t="str">
        <x:v>Encode A-ZION standards</x:v>
      </x:c>
      <x:c r="D7" t="str">
        <x:v>Master methodology</x:v>
      </x:c>
      <x:c r="E7" t="str">
        <x:v>Next+1</x:v>
      </x:c>
      <x:c r="F7" t="str">
        <x:v>P1</x:v>
      </x:c>
      <x:c r="G7" t="str">
        <x:v>Score rules documented, no invented criteria</x:v>
      </x:c>
    </x:row>
    <x:row r="8">
      <x:c r="A8" t="str">
        <x:v>Phase 3</x:v>
      </x:c>
      <x:c r="B8" t="str">
        <x:v>Portfolio</x:v>
      </x:c>
      <x:c r="C8" t="str">
        <x:v>Portfolio OS template</x:v>
      </x:c>
      <x:c r="D8" t="str">
        <x:v>User holdings</x:v>
      </x:c>
      <x:c r="E8" t="str">
        <x:v>Later</x:v>
      </x:c>
      <x:c r="F8" t="str">
        <x:v>P1</x:v>
      </x:c>
      <x:c r="G8" t="str">
        <x:v>Holdings, stops, sizing, risk limits</x:v>
      </x:c>
    </x:row>
    <x:row r="9">
      <x:c r="A9" t="str">
        <x:v>Phase 4</x:v>
      </x:c>
      <x:c r="B9" t="str">
        <x:v>Research</x:v>
      </x:c>
      <x:c r="C9" t="str">
        <x:v>AI Water Infrastructure</x:v>
      </x:c>
      <x:c r="D9" t="str">
        <x:v>System core stable</x:v>
      </x:c>
      <x:c r="E9" t="str">
        <x:v>Later</x:v>
      </x:c>
      <x:c r="F9" t="str">
        <x:v>P1</x:v>
      </x:c>
      <x:c r="G9" t="str">
        <x:v>Layer report + registry integration</x:v>
      </x:c>
    </x:row>
    <x:row r="10">
      <x:c r="A10" t="str">
        <x:v>Phase 4</x:v>
      </x:c>
      <x:c r="B10" t="str">
        <x:v>Strategy</x:v>
      </x:c>
      <x:c r="C10" t="str">
        <x:v>Strategic Core 25</x:v>
      </x:c>
      <x:c r="D10" t="str">
        <x:v>Universe + scoring</x:v>
      </x:c>
      <x:c r="E10" t="str">
        <x:v>Later</x:v>
      </x:c>
      <x:c r="F10" t="str">
        <x:v>P1</x:v>
      </x:c>
      <x:c r="G10" t="str">
        <x:v>Top 25 cross-layer assets approved</x:v>
      </x:c>
    </x:row>
  </x:sheetData>
  <x:dataValidations count="2">
    <x:dataValidation type="list" sqref="E2:E100">
      <x:formula1>"Next,Next+1,Later,Backlog"</x:formula1>
    </x:dataValidation>
    <x:dataValidation type="list" sqref="F2:F100">
      <x:formula1>Lists!$B$2:$B$5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260e503e3547b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44" hidden="0" customWidth="1"/>
    <x:col min="4" max="4" width="44" hidden="0" customWidth="1"/>
    <x:col min="5" max="5" width="14" hidden="0" customWidth="1"/>
  </x:cols>
  <x:sheetData>
    <x:row r="1">
      <x:c r="A1" s="38" t="str">
        <x:v>Date</x:v>
      </x:c>
      <x:c r="B1" s="38" t="str">
        <x:v>Decision</x:v>
      </x:c>
      <x:c r="C1" s="38" t="str">
        <x:v>Reason</x:v>
      </x:c>
      <x:c r="D1" s="38" t="str">
        <x:v>Impact</x:v>
      </x:c>
      <x:c r="E1" s="38" t="str">
        <x:v>Status</x:v>
      </x:c>
      <x:c r="F1" s="29"/>
      <x:c r="G1" s="29"/>
      <x:c r="H1" s="29"/>
      <x:c r="I1" s="29"/>
      <x:c r="J1" s="29"/>
      <x:c r="K1" s="29"/>
    </x:row>
    <x:row r="2">
      <x:c r="A2" t="str">
        <x:v>2026-07-07</x:v>
      </x:c>
      <x:c r="B2" t="str">
        <x:v>Create Master Gap Map</x:v>
      </x:c>
      <x:c r="C2" t="str">
        <x:v>Prevent duplicate work and prioritize next system builds</x:v>
      </x:c>
      <x:c r="D2" t="str">
        <x:v>Establishes project control layer</x:v>
      </x:c>
      <x:c r="E2" t="str">
        <x:v>Open</x:v>
      </x:c>
    </x:row>
    <x:row r="3">
      <x:c r="A3" t="str">
        <x:v>2026-07-07</x:v>
      </x:c>
      <x:c r="B3" t="str">
        <x:v>Treat Universe as operational layer, not duplicate Master</x:v>
      </x:c>
      <x:c r="C3" t="str">
        <x:v>Master is research source; Universe is scanner/trading input</x:v>
      </x:c>
      <x:c r="D3" t="str">
        <x:v>Keeps architecture clean</x:v>
      </x:c>
      <x:c r="E3" t="str">
        <x:v>Open</x:v>
      </x:c>
    </x:row>
    <x:row r="4">
      <x:c r="A4" t="str">
        <x:v>2026-07-07</x:v>
      </x:c>
      <x:c r="B4" t="str">
        <x:v>Do not invent new scoring methodology</x:v>
      </x:c>
      <x:c r="C4" t="str">
        <x:v>Existing A-ZION standards remain source of truth</x:v>
      </x:c>
      <x:c r="D4" t="str">
        <x:v>Prevents rating drift</x:v>
      </x:c>
      <x:c r="E4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ec8e1742f5a44da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0" hidden="0" customWidth="1"/>
    <x:col min="3" max="3" width="28" hidden="0" customWidth="1"/>
  </x:cols>
  <x:sheetData>
    <x:row r="1">
      <x:c r="A1" s="38" t="str">
        <x:v>Rule ID</x:v>
      </x:c>
      <x:c r="B1" s="38" t="str">
        <x:v>Rule</x:v>
      </x:c>
      <x:c r="C1" s="38" t="str">
        <x:v>Purpose</x:v>
      </x:c>
      <x:c r="D1" s="29"/>
      <x:c r="E1" s="29"/>
      <x:c r="F1" s="29"/>
      <x:c r="G1" s="29"/>
      <x:c r="H1" s="29"/>
      <x:c r="I1" s="29"/>
      <x:c r="J1" s="29"/>
      <x:c r="K1" s="29"/>
    </x:row>
    <x:row r="2">
      <x:c r="A2" t="str">
        <x:v>GOV-001</x:v>
      </x:c>
      <x:c r="B2" t="str">
        <x:v>Master is the source of truth for methodology and architecture.</x:v>
      </x:c>
      <x:c r="C2" t="str">
        <x:v>No competing masters.</x:v>
      </x:c>
    </x:row>
    <x:row r="3">
      <x:c r="A3" t="str">
        <x:v>GOV-002</x:v>
      </x:c>
      <x:c r="B3" t="str">
        <x:v>No company enters the operational Universe without a unique AZ-ID.</x:v>
      </x:c>
      <x:c r="C3" t="str">
        <x:v>Data consistency.</x:v>
      </x:c>
    </x:row>
    <x:row r="4">
      <x:c r="A4" t="str">
        <x:v>GOV-003</x:v>
      </x:c>
      <x:c r="B4" t="str">
        <x:v>One company, one identity, many layers.</x:v>
      </x:c>
      <x:c r="C4" t="str">
        <x:v>Cross-layer validation.</x:v>
      </x:c>
    </x:row>
    <x:row r="5">
      <x:c r="A5" t="str">
        <x:v>GOV-004</x:v>
      </x:c>
      <x:c r="B5" t="str">
        <x:v>Daily scanner cannot force setups; no setup is a valid result.</x:v>
      </x:c>
      <x:c r="C5" t="str">
        <x:v>Trading discipline.</x:v>
      </x:c>
    </x:row>
    <x:row r="6">
      <x:c r="A6" t="str">
        <x:v>GOV-005</x:v>
      </x:c>
      <x:c r="B6" t="str">
        <x:v>Market data must disclose timestamp and staleness.</x:v>
      </x:c>
      <x:c r="C6" t="str">
        <x:v>Trust and auditability.</x:v>
      </x:c>
    </x:row>
    <x:row r="7">
      <x:c r="A7" t="str">
        <x:v>GOV-006</x:v>
      </x:c>
      <x:c r="B7" t="str">
        <x:v>New modules require Master Check and Gap Analysis before build.</x:v>
      </x:c>
      <x:c r="C7" t="str">
        <x:v>Avoid duplicate work.</x:v>
      </x:c>
    </x:row>
    <x:row r="8">
      <x:c r="A8" t="str">
        <x:v>GOV-007</x:v>
      </x:c>
      <x:c r="B8" t="str">
        <x:v>Private/non-tradable assets remain Research Eligible, not Scanner Eligible unless proxy exists.</x:v>
      </x:c>
      <x:c r="C8" t="str">
        <x:v>Operational clarity.</x:v>
      </x:c>
    </x:row>
    <x:row r="9">
      <x:c r="A9" t="str">
        <x:v>GOV-008</x:v>
      </x:c>
      <x:c r="B9" t="str">
        <x:v>Every export increments version log.</x:v>
      </x:c>
      <x:c r="C9" t="str">
        <x:v>Project memory.</x:v>
      </x:c>
    </x:row>
  </x:sheetData>
  <x:pageMargins left="0.7" right="0.7" top="0.75" bottom="0.75" header="0.3" footer="0.3"/>
  <x:tableParts count="1">
    <x:tablePart xmlns:r="http://schemas.openxmlformats.org/officeDocument/2006/relationships" r:id="Rcfdd77b16a4c4ce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6.25" hidden="0" customWidth="1"/>
    <x:col min="3" max="3" width="10.75" hidden="0" customWidth="1"/>
    <x:col min="4" max="4" width="7.25" hidden="0" customWidth="1"/>
    <x:col min="5" max="5" width="12.75" hidden="0" customWidth="1"/>
  </x:cols>
  <x:sheetData>
    <x:row r="1">
      <x:c r="A1" s="38" t="str">
        <x:v>Status</x:v>
      </x:c>
      <x:c r="B1" s="38" t="str">
        <x:v>Priority</x:v>
      </x:c>
      <x:c r="C1" s="38" t="str">
        <x:v>Type</x:v>
      </x:c>
      <x:c r="D1" s="38" t="str">
        <x:v>Action</x:v>
      </x:c>
      <x:c r="E1" s="38" t="str">
        <x:v>Owner</x:v>
      </x:c>
      <x:c r="F1" s="29"/>
      <x:c r="G1" s="29"/>
      <x:c r="H1" s="29"/>
      <x:c r="I1" s="29"/>
      <x:c r="J1" s="29"/>
      <x:c r="K1" s="29"/>
    </x:row>
    <x:row r="2">
      <x:c r="A2" t="str">
        <x:v>Not Started</x:v>
      </x:c>
      <x:c r="B2" t="str">
        <x:v>P0</x:v>
      </x:c>
      <x:c r="C2" t="str">
        <x:v>Research</x:v>
      </x:c>
      <x:c r="D2" t="str">
        <x:v>Build</x:v>
      </x:c>
      <x:c r="E2" t="str">
        <x:v>A-ZION</x:v>
      </x:c>
    </x:row>
    <x:row r="3">
      <x:c r="A3" t="str">
        <x:v>In Progress</x:v>
      </x:c>
      <x:c r="B3" t="str">
        <x:v>P1</x:v>
      </x:c>
      <x:c r="C3" t="str">
        <x:v>Data</x:v>
      </x:c>
      <x:c r="D3" t="str">
        <x:v>Expand</x:v>
      </x:c>
      <x:c r="E3" t="str">
        <x:v>User</x:v>
      </x:c>
    </x:row>
    <x:row r="4">
      <x:c r="A4" t="str">
        <x:v>Partial</x:v>
      </x:c>
      <x:c r="B4" t="str">
        <x:v>P2</x:v>
      </x:c>
      <x:c r="C4" t="str">
        <x:v>Automation</x:v>
      </x:c>
      <x:c r="D4" t="str">
        <x:v>Integrate</x:v>
      </x:c>
      <x:c r="E4" t="str">
        <x:v>Codex</x:v>
      </x:c>
    </x:row>
    <x:row r="5">
      <x:c r="A5" t="str">
        <x:v>Complete</x:v>
      </x:c>
      <x:c r="B5" t="str">
        <x:v>P3</x:v>
      </x:c>
      <x:c r="C5" t="str">
        <x:v>Trading</x:v>
      </x:c>
      <x:c r="D5" t="str">
        <x:v>Audit</x:v>
      </x:c>
      <x:c r="E5" t="str">
        <x:v>Daily Engine</x:v>
      </x:c>
    </x:row>
    <x:row r="6">
      <x:c r="A6" t="str">
        <x:v>Frozen</x:v>
      </x:c>
      <x:c r="C6" t="str">
        <x:v>Portfolio</x:v>
      </x:c>
      <x:c r="D6" t="str">
        <x:v>Freeze</x:v>
      </x:c>
      <x:c r="E6" t="str">
        <x:v>Research Engine</x:v>
      </x:c>
    </x:row>
    <x:row r="7">
      <x:c r="A7" t="str">
        <x:v>Blocked</x:v>
      </x:c>
      <x:c r="C7" t="str">
        <x:v>Governance</x:v>
      </x:c>
      <x:c r="D7" t="str">
        <x:v>Monitor</x:v>
      </x:c>
    </x:row>
    <x:row r="8">
      <x:c r="C8" t="str">
        <x:v>Infrastructure</x:v>
      </x:c>
      <x:c r="D8" t="str">
        <x:v>Defer</x:v>
      </x:c>
    </x:row>
  </x:sheetData>
  <x:pageMargins left="0.7" right="0.7" top="0.75" bottom="0.75" header="0.3" footer="0.3"/>
</x:worksheet>
</file>